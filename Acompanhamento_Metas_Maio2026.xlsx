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 Loja" sheetId="1" state="visible" r:id="rId3"/>
    <sheet name="Por Sub-Re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<sst xmlns="http://schemas.openxmlformats.org/spreadsheetml/2006/main" count="50" uniqueCount="44">
  <si>
    <t xml:space="preserve">📊  ACOMPANHAMENTO DE METAS — MAIO 2026</t>
  </si>
  <si>
    <t xml:space="preserve">Dados: 02/05 a 17/05/2026   |   Meta referência: 85% da meta até 24/05/2026</t>
  </si>
  <si>
    <t xml:space="preserve">% Meta ref.:</t>
  </si>
  <si>
    <t xml:space="preserve">Dias c/ dados:</t>
  </si>
  <si>
    <t xml:space="preserve">Dias restantes até 24/05:</t>
  </si>
  <si>
    <t xml:space="preserve">Fonte: vendas-21.csv + Sinergy | Atualizado: 18/05/2026</t>
  </si>
  <si>
    <t xml:space="preserve">Loja</t>
  </si>
  <si>
    <t xml:space="preserve">Meta Maio
(Sugestão)</t>
  </si>
  <si>
    <t xml:space="preserve">Vendido Atual
(até 17/05)</t>
  </si>
  <si>
    <t xml:space="preserve">% Atingido
Atual</t>
  </si>
  <si>
    <t xml:space="preserve">Meta 85%
(até 24/05)</t>
  </si>
  <si>
    <t xml:space="preserve">Faltante
p/ 85%</t>
  </si>
  <si>
    <t xml:space="preserve">Meta Diária
Necessária</t>
  </si>
  <si>
    <t xml:space="preserve">Média Diária
Atual</t>
  </si>
  <si>
    <t xml:space="preserve">Projeção
até 24/05</t>
  </si>
  <si>
    <t xml:space="preserve">% Projeção
vs Meta</t>
  </si>
  <si>
    <t xml:space="preserve">TITAS 1  |  Gerente Sênior: Talysson</t>
  </si>
  <si>
    <t xml:space="preserve">Cariacica</t>
  </si>
  <si>
    <t xml:space="preserve">Itabuna</t>
  </si>
  <si>
    <t xml:space="preserve">Praia da Costa</t>
  </si>
  <si>
    <t xml:space="preserve">Moxuara</t>
  </si>
  <si>
    <t xml:space="preserve">TITAS 2  |  Gerente Sênior: Adriel</t>
  </si>
  <si>
    <t xml:space="preserve">Laranjeiras</t>
  </si>
  <si>
    <t xml:space="preserve">Barreiras</t>
  </si>
  <si>
    <t xml:space="preserve">Teixeira de Freitas</t>
  </si>
  <si>
    <t xml:space="preserve">TITAS 3  |  Gerente Sênior: Arthur</t>
  </si>
  <si>
    <t xml:space="preserve">Montserrat</t>
  </si>
  <si>
    <t xml:space="preserve">Serra</t>
  </si>
  <si>
    <t xml:space="preserve">Linhares</t>
  </si>
  <si>
    <t xml:space="preserve">São Mateus</t>
  </si>
  <si>
    <t xml:space="preserve">TOTAL REDE</t>
  </si>
  <si>
    <t xml:space="preserve">📊  RESUMO POR SUB-REDE — MAIO 2026</t>
  </si>
  <si>
    <t xml:space="preserve">Dados: 02/05 a 17/05/2026  |  Meta referência: 85% da meta até 24/05/2026</t>
  </si>
  <si>
    <t xml:space="preserve">Sub-Rede</t>
  </si>
  <si>
    <t xml:space="preserve">Gerente Sênior</t>
  </si>
  <si>
    <t xml:space="preserve">Meta Maio</t>
  </si>
  <si>
    <t xml:space="preserve">% Atingido</t>
  </si>
  <si>
    <t xml:space="preserve">Titas 1</t>
  </si>
  <si>
    <t xml:space="preserve">Talysson</t>
  </si>
  <si>
    <t xml:space="preserve">Titas 2</t>
  </si>
  <si>
    <t xml:space="preserve">Adriel</t>
  </si>
  <si>
    <t xml:space="preserve">Titas 3</t>
  </si>
  <si>
    <t xml:space="preserve">Arthur</t>
  </si>
  <si>
    <t xml:space="preserve">11 lojas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</si>
</sst>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&quot;R$ &quot;#,##0.00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A500"/>
      <name val="Arial"/>
      <family val="0"/>
      <charset val="1"/>
    </font>
    <font>
      <sz val="9"/>
      <color rgb="FFCCCCCC"/>
      <name val="Arial"/>
      <family val="0"/>
      <charset val="1"/>
    </font>
    <font>
      <b val="true"/>
      <sz val="9"/>
      <color rgb="FF0D1B40"/>
      <name val="Arial"/>
      <family val="0"/>
      <charset val="1"/>
    </font>
    <font>
      <sz val="9"/>
      <color rgb="FF0000CC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9"/>
      <color rgb="FFFFA5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D1B40"/>
      <name val="Arial"/>
      <family val="0"/>
      <charset val="1"/>
    </font>
    <font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B40"/>
        <bgColor rgb="FF333333"/>
      </patternFill>
    </fill>
    <fill>
      <patternFill patternType="solid">
        <fgColor rgb="FFFFF0A0"/>
        <bgColor rgb="FFFFFFCC"/>
      </patternFill>
    </fill>
    <fill>
      <patternFill patternType="solid">
        <fgColor rgb="FF1A3A8B"/>
        <bgColor rgb="FF333333"/>
      </patternFill>
    </fill>
    <fill>
      <patternFill patternType="solid">
        <fgColor rgb="FFDDE8FF"/>
        <bgColor rgb="FFDCEFE5"/>
      </patternFill>
    </fill>
    <fill>
      <patternFill patternType="solid">
        <fgColor rgb="FF1A6B4A"/>
        <bgColor rgb="FF008080"/>
      </patternFill>
    </fill>
    <fill>
      <patternFill patternType="solid">
        <fgColor rgb="FFDCEFE5"/>
        <bgColor rgb="FFDDE8FF"/>
      </patternFill>
    </fill>
    <fill>
      <patternFill patternType="solid">
        <fgColor rgb="FF5A1A8B"/>
        <bgColor rgb="FF800080"/>
      </patternFill>
    </fill>
    <fill>
      <patternFill patternType="solid">
        <fgColor rgb="FFEDE0FF"/>
        <bgColor rgb="FFDDE8FF"/>
      </patternFill>
    </fill>
    <fill>
      <patternFill patternType="solid">
        <fgColor rgb="FFE8A900"/>
        <bgColor rgb="FFFFA5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4A"/>
      <rgbColor rgb="FFBBBBBB"/>
      <rgbColor rgb="FF888888"/>
      <rgbColor rgb="FF9999FF"/>
      <rgbColor rgb="FF993366"/>
      <rgbColor rgb="FFFFFFCC"/>
      <rgbColor rgb="FFDDE8FF"/>
      <rgbColor rgb="FF5A1A8B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0FF"/>
      <rgbColor rgb="FFDCEFE5"/>
      <rgbColor rgb="FFFFF0A0"/>
      <rgbColor rgb="FF99CCFF"/>
      <rgbColor rgb="FFFF99CC"/>
      <rgbColor rgb="FFCC99FF"/>
      <rgbColor rgb="FFFFCC99"/>
      <rgbColor rgb="FF3366FF"/>
      <rgbColor rgb="FF33CCCC"/>
      <rgbColor rgb="FF99CC00"/>
      <rgbColor rgb="FFE8A900"/>
      <rgbColor rgb="FFFFA500"/>
      <rgbColor rgb="FFFF6600"/>
      <rgbColor rgb="FF666699"/>
      <rgbColor rgb="FF969696"/>
      <rgbColor rgb="FF0D1B40"/>
      <rgbColor rgb="FF339966"/>
      <rgbColor rgb="FF003300"/>
      <rgbColor rgb="FF333300"/>
      <rgbColor rgb="FF993300"/>
      <rgbColor rgb="FF993366"/>
      <rgbColor rgb="FF1A3A8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8" min="6" style="0" width="14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4" hidden="false" customHeight="true" outlineLevel="0" collapsed="false">
      <c r="A3" s="3" t="s">
        <v>2</v>
      </c>
      <c r="B3" s="4" t="n">
        <v>0.85</v>
      </c>
      <c r="C3" s="3" t="s">
        <v>3</v>
      </c>
      <c r="D3" s="5" t="n">
        <v>16</v>
      </c>
      <c r="E3" s="3" t="s">
        <v>4</v>
      </c>
      <c r="F3" s="5" t="n">
        <v>7</v>
      </c>
      <c r="G3" s="6" t="s">
        <v>5</v>
      </c>
      <c r="H3" s="6"/>
      <c r="I3" s="6"/>
      <c r="J3" s="6"/>
    </row>
    <row r="4" customFormat="false" ht="39.75" hidden="false" customHeight="true" outlineLevel="0" collapsed="false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</row>
    <row r="5" customFormat="false" ht="19.5" hidden="false" customHeight="true" outlineLevel="0" collapsed="false">
      <c r="A5" s="8" t="s">
        <v>16</v>
      </c>
      <c r="B5" s="8"/>
      <c r="C5" s="8"/>
      <c r="D5" s="8"/>
      <c r="E5" s="8"/>
      <c r="F5" s="8"/>
      <c r="G5" s="8"/>
      <c r="H5" s="8"/>
      <c r="I5" s="8"/>
      <c r="J5" s="8"/>
    </row>
    <row r="6" customFormat="false" ht="18" hidden="false" customHeight="true" outlineLevel="0" collapsed="false">
      <c r="A6" s="9" t="s">
        <v>17</v>
      </c>
      <c r="B6" s="10" t="n">
        <v>450000</v>
      </c>
      <c r="C6" s="10" t="n">
        <v>257451.14</v>
      </c>
      <c r="D6" s="11" t="n">
        <f aca="false">C6/B6</f>
        <v>0.572113644444445</v>
      </c>
      <c r="E6" s="12" t="n">
        <f aca="false">B6*$B$3</f>
        <v>382500</v>
      </c>
      <c r="F6" s="12" t="n">
        <f aca="false">MAX(0,E6-C6)</f>
        <v>125048.86</v>
      </c>
      <c r="G6" s="12" t="n">
        <f aca="false">IF(F6&gt;0,F6/$F$3,0)</f>
        <v>17864.1228571429</v>
      </c>
      <c r="H6" s="12" t="n">
        <f aca="false">C6/$D$3</f>
        <v>16090.69625</v>
      </c>
      <c r="I6" s="12" t="n">
        <f aca="false">C6+H6*$F$3</f>
        <v>370086.01375</v>
      </c>
      <c r="J6" s="11" t="n">
        <f aca="false">I6/B6</f>
        <v>0.822413363888889</v>
      </c>
    </row>
    <row r="7" customFormat="false" ht="18" hidden="false" customHeight="true" outlineLevel="0" collapsed="false">
      <c r="A7" s="9" t="s">
        <v>18</v>
      </c>
      <c r="B7" s="10" t="n">
        <v>390000</v>
      </c>
      <c r="C7" s="10" t="n">
        <v>151812</v>
      </c>
      <c r="D7" s="11" t="n">
        <f aca="false">C7/B7</f>
        <v>0.389261538461538</v>
      </c>
      <c r="E7" s="12" t="n">
        <f aca="false">B7*$B$3</f>
        <v>331500</v>
      </c>
      <c r="F7" s="12" t="n">
        <f aca="false">MAX(0,E7-C7)</f>
        <v>179688</v>
      </c>
      <c r="G7" s="12" t="n">
        <f aca="false">IF(F7&gt;0,F7/$F$3,0)</f>
        <v>25669.7142857143</v>
      </c>
      <c r="H7" s="12" t="n">
        <f aca="false">C7/$D$3</f>
        <v>9488.25</v>
      </c>
      <c r="I7" s="12" t="n">
        <f aca="false">C7+H7*$F$3</f>
        <v>218229.75</v>
      </c>
      <c r="J7" s="11" t="n">
        <f aca="false">I7/B7</f>
        <v>0.559563461538462</v>
      </c>
    </row>
    <row r="8" customFormat="false" ht="18" hidden="false" customHeight="true" outlineLevel="0" collapsed="false">
      <c r="A8" s="9" t="s">
        <v>19</v>
      </c>
      <c r="B8" s="10" t="n">
        <v>130000</v>
      </c>
      <c r="C8" s="10" t="n">
        <v>62926</v>
      </c>
      <c r="D8" s="11" t="n">
        <f aca="false">C8/B8</f>
        <v>0.484046153846154</v>
      </c>
      <c r="E8" s="12" t="n">
        <f aca="false">B8*$B$3</f>
        <v>110500</v>
      </c>
      <c r="F8" s="12" t="n">
        <f aca="false">MAX(0,E8-C8)</f>
        <v>47574</v>
      </c>
      <c r="G8" s="12" t="n">
        <f aca="false">IF(F8&gt;0,F8/$F$3,0)</f>
        <v>6796.28571428572</v>
      </c>
      <c r="H8" s="12" t="n">
        <f aca="false">C8/$D$3</f>
        <v>3932.875</v>
      </c>
      <c r="I8" s="12" t="n">
        <f aca="false">C8+H8*$F$3</f>
        <v>90456.125</v>
      </c>
      <c r="J8" s="11" t="n">
        <f aca="false">I8/B8</f>
        <v>0.695816346153846</v>
      </c>
    </row>
    <row r="9" customFormat="false" ht="18" hidden="false" customHeight="true" outlineLevel="0" collapsed="false">
      <c r="A9" s="9" t="s">
        <v>20</v>
      </c>
      <c r="B9" s="10" t="n">
        <v>270000</v>
      </c>
      <c r="C9" s="10" t="n">
        <v>189651.5</v>
      </c>
      <c r="D9" s="11" t="n">
        <f aca="false">C9/B9</f>
        <v>0.702412962962963</v>
      </c>
      <c r="E9" s="12" t="n">
        <f aca="false">B9*$B$3</f>
        <v>229500</v>
      </c>
      <c r="F9" s="12" t="n">
        <f aca="false">MAX(0,E9-C9)</f>
        <v>39848.5</v>
      </c>
      <c r="G9" s="12" t="n">
        <f aca="false">IF(F9&gt;0,F9/$F$3,0)</f>
        <v>5692.64285714286</v>
      </c>
      <c r="H9" s="12" t="n">
        <f aca="false">C9/$D$3</f>
        <v>11853.21875</v>
      </c>
      <c r="I9" s="12" t="n">
        <f aca="false">C9+H9*$F$3</f>
        <v>272624.03125</v>
      </c>
      <c r="J9" s="11" t="n">
        <f aca="false">I9/B9</f>
        <v>1.00971863425926</v>
      </c>
    </row>
    <row r="10" customFormat="false" ht="19.5" hidden="false" customHeight="true" outlineLevel="0" collapsed="false">
      <c r="A10" s="13" t="s">
        <v>21</v>
      </c>
      <c r="B10" s="13"/>
      <c r="C10" s="13"/>
      <c r="D10" s="13"/>
      <c r="E10" s="13"/>
      <c r="F10" s="13"/>
      <c r="G10" s="13"/>
      <c r="H10" s="13"/>
      <c r="I10" s="13"/>
      <c r="J10" s="13"/>
    </row>
    <row r="11" customFormat="false" ht="18" hidden="false" customHeight="true" outlineLevel="0" collapsed="false">
      <c r="A11" s="14" t="s">
        <v>22</v>
      </c>
      <c r="B11" s="15" t="n">
        <v>220000</v>
      </c>
      <c r="C11" s="15" t="n">
        <v>83538</v>
      </c>
      <c r="D11" s="16" t="n">
        <f aca="false">C11/B11</f>
        <v>0.379718181818182</v>
      </c>
      <c r="E11" s="17" t="n">
        <f aca="false">B11*$B$3</f>
        <v>187000</v>
      </c>
      <c r="F11" s="17" t="n">
        <f aca="false">MAX(0,E11-C11)</f>
        <v>103462</v>
      </c>
      <c r="G11" s="17" t="n">
        <f aca="false">IF(F11&gt;0,F11/$F$3,0)</f>
        <v>14780.2857142857</v>
      </c>
      <c r="H11" s="17" t="n">
        <f aca="false">C11/$D$3</f>
        <v>5221.125</v>
      </c>
      <c r="I11" s="17" t="n">
        <f aca="false">C11+H11*$F$3</f>
        <v>120085.875</v>
      </c>
      <c r="J11" s="16" t="n">
        <f aca="false">I11/B11</f>
        <v>0.545844886363636</v>
      </c>
    </row>
    <row r="12" customFormat="false" ht="18" hidden="false" customHeight="true" outlineLevel="0" collapsed="false">
      <c r="A12" s="14" t="s">
        <v>23</v>
      </c>
      <c r="B12" s="15" t="n">
        <v>280000</v>
      </c>
      <c r="C12" s="15" t="n">
        <v>125264.99</v>
      </c>
      <c r="D12" s="16" t="n">
        <f aca="false">C12/B12</f>
        <v>0.447374964285714</v>
      </c>
      <c r="E12" s="17" t="n">
        <f aca="false">B12*$B$3</f>
        <v>238000</v>
      </c>
      <c r="F12" s="17" t="n">
        <f aca="false">MAX(0,E12-C12)</f>
        <v>112735.01</v>
      </c>
      <c r="G12" s="17" t="n">
        <f aca="false">IF(F12&gt;0,F12/$F$3,0)</f>
        <v>16105.0014285714</v>
      </c>
      <c r="H12" s="17" t="n">
        <f aca="false">C12/$D$3</f>
        <v>7829.061875</v>
      </c>
      <c r="I12" s="17" t="n">
        <f aca="false">C12+H12*$F$3</f>
        <v>180068.423125</v>
      </c>
      <c r="J12" s="16" t="n">
        <f aca="false">I12/B12</f>
        <v>0.643101511160714</v>
      </c>
    </row>
    <row r="13" customFormat="false" ht="18" hidden="false" customHeight="true" outlineLevel="0" collapsed="false">
      <c r="A13" s="14" t="s">
        <v>24</v>
      </c>
      <c r="B13" s="15" t="n">
        <v>225000</v>
      </c>
      <c r="C13" s="15" t="n">
        <v>135534.99</v>
      </c>
      <c r="D13" s="16" t="n">
        <f aca="false">C13/B13</f>
        <v>0.602377733333333</v>
      </c>
      <c r="E13" s="17" t="n">
        <f aca="false">B13*$B$3</f>
        <v>191250</v>
      </c>
      <c r="F13" s="17" t="n">
        <f aca="false">MAX(0,E13-C13)</f>
        <v>55715.01</v>
      </c>
      <c r="G13" s="17" t="n">
        <f aca="false">IF(F13&gt;0,F13/$F$3,0)</f>
        <v>7959.28714285714</v>
      </c>
      <c r="H13" s="17" t="n">
        <f aca="false">C13/$D$3</f>
        <v>8470.936875</v>
      </c>
      <c r="I13" s="17" t="n">
        <f aca="false">C13+H13*$F$3</f>
        <v>194831.548125</v>
      </c>
      <c r="J13" s="16" t="n">
        <f aca="false">I13/B13</f>
        <v>0.865917991666667</v>
      </c>
    </row>
    <row r="14" customFormat="false" ht="19.5" hidden="false" customHeight="true" outlineLevel="0" collapsed="false">
      <c r="A14" s="18" t="s">
        <v>25</v>
      </c>
      <c r="B14" s="18"/>
      <c r="C14" s="18"/>
      <c r="D14" s="18"/>
      <c r="E14" s="18"/>
      <c r="F14" s="18"/>
      <c r="G14" s="18"/>
      <c r="H14" s="18"/>
      <c r="I14" s="18"/>
      <c r="J14" s="18"/>
    </row>
    <row r="15" customFormat="false" ht="18" hidden="false" customHeight="true" outlineLevel="0" collapsed="false">
      <c r="A15" s="19" t="s">
        <v>26</v>
      </c>
      <c r="B15" s="20" t="n">
        <v>165000</v>
      </c>
      <c r="C15" s="20" t="n">
        <v>71497</v>
      </c>
      <c r="D15" s="21" t="n">
        <f aca="false">C15/B15</f>
        <v>0.433315151515152</v>
      </c>
      <c r="E15" s="22" t="n">
        <f aca="false">B15*$B$3</f>
        <v>140250</v>
      </c>
      <c r="F15" s="22" t="n">
        <f aca="false">MAX(0,E15-C15)</f>
        <v>68753</v>
      </c>
      <c r="G15" s="22" t="n">
        <f aca="false">IF(F15&gt;0,F15/$F$3,0)</f>
        <v>9821.85714285714</v>
      </c>
      <c r="H15" s="22" t="n">
        <f aca="false">C15/$D$3</f>
        <v>4468.5625</v>
      </c>
      <c r="I15" s="22" t="n">
        <f aca="false">C15+H15*$F$3</f>
        <v>102776.9375</v>
      </c>
      <c r="J15" s="21" t="n">
        <f aca="false">I15/B15</f>
        <v>0.62289053030303</v>
      </c>
    </row>
    <row r="16" customFormat="false" ht="18" hidden="false" customHeight="true" outlineLevel="0" collapsed="false">
      <c r="A16" s="19" t="s">
        <v>27</v>
      </c>
      <c r="B16" s="20" t="n">
        <v>210000</v>
      </c>
      <c r="C16" s="20" t="n">
        <v>91249.94</v>
      </c>
      <c r="D16" s="21" t="n">
        <f aca="false">C16/B16</f>
        <v>0.434523523809524</v>
      </c>
      <c r="E16" s="22" t="n">
        <f aca="false">B16*$B$3</f>
        <v>178500</v>
      </c>
      <c r="F16" s="22" t="n">
        <f aca="false">MAX(0,E16-C16)</f>
        <v>87250.06</v>
      </c>
      <c r="G16" s="22" t="n">
        <f aca="false">IF(F16&gt;0,F16/$F$3,0)</f>
        <v>12464.2942857143</v>
      </c>
      <c r="H16" s="22" t="n">
        <f aca="false">C16/$D$3</f>
        <v>5703.12125</v>
      </c>
      <c r="I16" s="22" t="n">
        <f aca="false">C16+H16*$F$3</f>
        <v>131171.78875</v>
      </c>
      <c r="J16" s="21" t="n">
        <f aca="false">I16/B16</f>
        <v>0.624627565476191</v>
      </c>
    </row>
    <row r="17" customFormat="false" ht="18" hidden="false" customHeight="true" outlineLevel="0" collapsed="false">
      <c r="A17" s="19" t="s">
        <v>28</v>
      </c>
      <c r="B17" s="20" t="n">
        <v>210000</v>
      </c>
      <c r="C17" s="20" t="n">
        <v>92337</v>
      </c>
      <c r="D17" s="21" t="n">
        <f aca="false">C17/B17</f>
        <v>0.4397</v>
      </c>
      <c r="E17" s="22" t="n">
        <f aca="false">B17*$B$3</f>
        <v>178500</v>
      </c>
      <c r="F17" s="22" t="n">
        <f aca="false">MAX(0,E17-C17)</f>
        <v>86163</v>
      </c>
      <c r="G17" s="22" t="n">
        <f aca="false">IF(F17&gt;0,F17/$F$3,0)</f>
        <v>12309</v>
      </c>
      <c r="H17" s="22" t="n">
        <f aca="false">C17/$D$3</f>
        <v>5771.0625</v>
      </c>
      <c r="I17" s="22" t="n">
        <f aca="false">C17+H17*$F$3</f>
        <v>132734.4375</v>
      </c>
      <c r="J17" s="21" t="n">
        <f aca="false">I17/B17</f>
        <v>0.63206875</v>
      </c>
    </row>
    <row r="18" customFormat="false" ht="18" hidden="false" customHeight="true" outlineLevel="0" collapsed="false">
      <c r="A18" s="19" t="s">
        <v>29</v>
      </c>
      <c r="B18" s="20" t="n">
        <v>450000</v>
      </c>
      <c r="C18" s="20" t="n">
        <v>266151.74</v>
      </c>
      <c r="D18" s="21" t="n">
        <f aca="false">C18/B18</f>
        <v>0.591448311111111</v>
      </c>
      <c r="E18" s="22" t="n">
        <f aca="false">B18*$B$3</f>
        <v>382500</v>
      </c>
      <c r="F18" s="22" t="n">
        <f aca="false">MAX(0,E18-C18)</f>
        <v>116348.26</v>
      </c>
      <c r="G18" s="22" t="n">
        <f aca="false">IF(F18&gt;0,F18/$F$3,0)</f>
        <v>16621.18</v>
      </c>
      <c r="H18" s="22" t="n">
        <f aca="false">C18/$D$3</f>
        <v>16634.48375</v>
      </c>
      <c r="I18" s="22" t="n">
        <f aca="false">C18+H18*$F$3</f>
        <v>382593.12625</v>
      </c>
      <c r="J18" s="21" t="n">
        <f aca="false">I18/B18</f>
        <v>0.850206947222222</v>
      </c>
    </row>
    <row r="20" customFormat="false" ht="21.75" hidden="false" customHeight="true" outlineLevel="0" collapsed="false">
      <c r="A20" s="23" t="s">
        <v>30</v>
      </c>
      <c r="B20" s="24" t="n">
        <f aca="false">B6+B7+B8+B9+B11+B12+B13+B15+B16+B17+B18</f>
        <v>3000000</v>
      </c>
      <c r="C20" s="24" t="n">
        <f aca="false">C6+C7+C8+C9+C11+C12+C13+C15+C16+C17+C18</f>
        <v>1527414.3</v>
      </c>
      <c r="D20" s="25" t="n">
        <f aca="false">C20/B20</f>
        <v>0.5091381</v>
      </c>
      <c r="E20" s="24" t="n">
        <f aca="false">B20*$B$3</f>
        <v>2550000</v>
      </c>
      <c r="F20" s="24" t="n">
        <f aca="false">MAX(0,E20-C20)</f>
        <v>1022585.7</v>
      </c>
      <c r="G20" s="24" t="n">
        <f aca="false">IF(F20&gt;0,F20/$F$3,0)</f>
        <v>146083.671428571</v>
      </c>
      <c r="H20" s="24" t="n">
        <f aca="false">C20/$D$3</f>
        <v>95463.39375</v>
      </c>
      <c r="I20" s="24" t="n">
        <f aca="false">C20+H20*$F$3</f>
        <v>2195658.05625</v>
      </c>
      <c r="J20" s="25" t="n">
        <f aca="false">I20/B20</f>
        <v>0.73188601875</v>
      </c>
    </row>
  </sheetData>
  <mergeCells count="6">
    <mergeCell ref="A1:J1"/>
    <mergeCell ref="A2:J2"/>
    <mergeCell ref="G3:J3"/>
    <mergeCell ref="A5:J5"/>
    <mergeCell ref="A10:J10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1"/>
    <col collapsed="false" customWidth="true" hidden="false" outlineLevel="0" max="8" min="6" style="0" width="16"/>
    <col collapsed="false" customWidth="true" hidden="false" outlineLevel="0" max="9" min="9" style="0" width="12"/>
  </cols>
  <sheetData>
    <row r="1" customFormat="false" ht="36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32</v>
      </c>
      <c r="B2" s="2"/>
      <c r="C2" s="2"/>
      <c r="D2" s="2"/>
      <c r="E2" s="2"/>
      <c r="F2" s="2"/>
      <c r="G2" s="2"/>
      <c r="H2" s="2"/>
      <c r="I2" s="2"/>
    </row>
    <row r="3" customFormat="false" ht="39.75" hidden="false" customHeight="true" outlineLevel="0" collapsed="false">
      <c r="A3" s="7" t="s">
        <v>33</v>
      </c>
      <c r="B3" s="7" t="s">
        <v>34</v>
      </c>
      <c r="C3" s="7" t="s">
        <v>35</v>
      </c>
      <c r="D3" s="7" t="s">
        <v>8</v>
      </c>
      <c r="E3" s="7" t="s">
        <v>36</v>
      </c>
      <c r="F3" s="7" t="s">
        <v>10</v>
      </c>
      <c r="G3" s="7" t="s">
        <v>12</v>
      </c>
      <c r="H3" s="7" t="s">
        <v>14</v>
      </c>
      <c r="I3" s="7" t="s">
        <v>15</v>
      </c>
    </row>
    <row r="4" customFormat="false" ht="21.75" hidden="false" customHeight="true" outlineLevel="0" collapsed="false">
      <c r="A4" s="26" t="s">
        <v>37</v>
      </c>
      <c r="B4" s="26" t="s">
        <v>38</v>
      </c>
      <c r="C4" s="27" t="n">
        <v>1240000</v>
      </c>
      <c r="D4" s="27" t="n">
        <v>661840.64</v>
      </c>
      <c r="E4" s="28" t="n">
        <v>0.533742451612903</v>
      </c>
      <c r="F4" s="27" t="n">
        <v>1054000</v>
      </c>
      <c r="G4" s="27" t="n">
        <v>56022.7657142857</v>
      </c>
      <c r="H4" s="27" t="n">
        <v>951395.92</v>
      </c>
      <c r="I4" s="28" t="n">
        <v>0.767254774193548</v>
      </c>
    </row>
    <row r="5" customFormat="false" ht="21.75" hidden="false" customHeight="true" outlineLevel="0" collapsed="false">
      <c r="A5" s="29" t="s">
        <v>39</v>
      </c>
      <c r="B5" s="29" t="s">
        <v>40</v>
      </c>
      <c r="C5" s="30" t="n">
        <v>725000</v>
      </c>
      <c r="D5" s="30" t="n">
        <v>344337.98</v>
      </c>
      <c r="E5" s="31" t="n">
        <v>0.474948937931034</v>
      </c>
      <c r="F5" s="30" t="n">
        <v>616250</v>
      </c>
      <c r="G5" s="30" t="n">
        <v>38844.5742857143</v>
      </c>
      <c r="H5" s="30" t="n">
        <v>494985.84625</v>
      </c>
      <c r="I5" s="31" t="n">
        <v>0.682739098275862</v>
      </c>
    </row>
    <row r="6" customFormat="false" ht="21.75" hidden="false" customHeight="true" outlineLevel="0" collapsed="false">
      <c r="A6" s="32" t="s">
        <v>41</v>
      </c>
      <c r="B6" s="32" t="s">
        <v>42</v>
      </c>
      <c r="C6" s="33" t="n">
        <v>1035000</v>
      </c>
      <c r="D6" s="33" t="n">
        <v>521235.68</v>
      </c>
      <c r="E6" s="34" t="n">
        <v>0.503609352657005</v>
      </c>
      <c r="F6" s="33" t="n">
        <v>879750</v>
      </c>
      <c r="G6" s="33" t="n">
        <v>51216.3314285714</v>
      </c>
      <c r="H6" s="33" t="n">
        <v>749276.29</v>
      </c>
      <c r="I6" s="34" t="n">
        <v>0.723938444444444</v>
      </c>
    </row>
    <row r="7" customFormat="false" ht="24" hidden="false" customHeight="true" outlineLevel="0" collapsed="false">
      <c r="A7" s="23" t="s">
        <v>30</v>
      </c>
      <c r="B7" s="23" t="s">
        <v>43</v>
      </c>
      <c r="C7" s="35" t="n">
        <v>3000000</v>
      </c>
      <c r="D7" s="35" t="n">
        <v>1527414.3</v>
      </c>
      <c r="E7" s="36" t="n">
        <v>0.5091381</v>
      </c>
      <c r="F7" s="35" t="n">
        <v>2550000</v>
      </c>
      <c r="G7" s="35" t="n">
        <v>146083.671428571</v>
      </c>
      <c r="H7" s="35" t="n">
        <v>2195658.05625</v>
      </c>
      <c r="I7" s="36" t="n">
        <v>0.73188601875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2026-05-18T13:46:54Z</dcterms:created>
  <dc:creator>openpyxl</dc:creator>
  <dc:description/>
  <dc:language>en-US</dc:language>
  <cp:lastModifiedBy/>
  <dcterms:modified xsi:type="dcterms:W3CDTF">2026-05-18T13:46:54Z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